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LP\Mtech AIML Batch 4 November 2024\"/>
    </mc:Choice>
  </mc:AlternateContent>
  <bookViews>
    <workbookView xWindow="0" yWindow="0" windowWidth="16365" windowHeight="6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F3" i="1"/>
  <c r="N19" i="1" l="1"/>
  <c r="G8" i="1"/>
  <c r="F8" i="1"/>
  <c r="G5" i="1"/>
  <c r="G4" i="1"/>
  <c r="D22" i="1" l="1"/>
  <c r="C22" i="1"/>
  <c r="B22" i="1"/>
  <c r="A22" i="1"/>
  <c r="D21" i="1"/>
  <c r="C21" i="1"/>
  <c r="B21" i="1"/>
  <c r="A21" i="1"/>
  <c r="D20" i="1"/>
  <c r="C20" i="1"/>
  <c r="B20" i="1"/>
  <c r="A20" i="1"/>
  <c r="D19" i="1"/>
  <c r="C19" i="1"/>
  <c r="B19" i="1"/>
  <c r="A19" i="1"/>
  <c r="F21" i="1"/>
  <c r="F20" i="1"/>
  <c r="F19" i="1"/>
  <c r="E22" i="1"/>
  <c r="E21" i="1"/>
  <c r="E20" i="1"/>
  <c r="E19" i="1"/>
  <c r="H8" i="1"/>
  <c r="G19" i="1" l="1"/>
  <c r="K19" i="1" s="1"/>
  <c r="I20" i="1"/>
  <c r="M20" i="1" s="1"/>
  <c r="P20" i="1" s="1"/>
  <c r="G21" i="1"/>
  <c r="K21" i="1" s="1"/>
  <c r="N21" i="1" s="1"/>
  <c r="I22" i="1"/>
  <c r="M22" i="1" s="1"/>
  <c r="P22" i="1" s="1"/>
  <c r="I21" i="1"/>
  <c r="M21" i="1" s="1"/>
  <c r="P21" i="1" s="1"/>
  <c r="H21" i="1"/>
  <c r="L21" i="1" s="1"/>
  <c r="O21" i="1" s="1"/>
  <c r="G20" i="1"/>
  <c r="K20" i="1" s="1"/>
  <c r="N20" i="1" s="1"/>
  <c r="G22" i="1"/>
  <c r="K22" i="1" s="1"/>
  <c r="N22" i="1" s="1"/>
  <c r="H22" i="1"/>
  <c r="L22" i="1" s="1"/>
  <c r="O22" i="1" s="1"/>
  <c r="I19" i="1"/>
  <c r="M19" i="1" s="1"/>
  <c r="P19" i="1" s="1"/>
  <c r="H19" i="1"/>
  <c r="L19" i="1" s="1"/>
  <c r="O19" i="1" s="1"/>
  <c r="H20" i="1"/>
  <c r="L20" i="1" s="1"/>
  <c r="O20" i="1" s="1"/>
  <c r="I3" i="1"/>
  <c r="G11" i="1"/>
  <c r="H11" i="1"/>
  <c r="H10" i="1"/>
  <c r="G10" i="1"/>
  <c r="F10" i="1"/>
  <c r="H9" i="1"/>
  <c r="G9" i="1"/>
  <c r="F9" i="1"/>
  <c r="F6" i="1" a="1"/>
  <c r="F6" i="1" s="1"/>
  <c r="G6" i="1" s="1"/>
  <c r="I6" i="1" s="1"/>
  <c r="F5" i="1" a="1"/>
  <c r="F5" i="1" s="1"/>
  <c r="I5" i="1" s="1"/>
  <c r="F4" i="1" a="1"/>
  <c r="F4" i="1" s="1"/>
  <c r="I4" i="1" s="1"/>
  <c r="P65" i="1" l="1"/>
  <c r="N64" i="1"/>
  <c r="P64" i="1"/>
  <c r="O64" i="1"/>
  <c r="P66" i="1"/>
  <c r="O66" i="1"/>
  <c r="N66" i="1"/>
  <c r="O65" i="1"/>
  <c r="N65" i="1"/>
  <c r="N45" i="1"/>
  <c r="P45" i="1"/>
  <c r="O45" i="1"/>
  <c r="N44" i="1"/>
  <c r="P44" i="1"/>
  <c r="O44" i="1"/>
  <c r="P43" i="1"/>
  <c r="O43" i="1"/>
  <c r="N43" i="1"/>
  <c r="G12" i="1"/>
  <c r="H12" i="1"/>
  <c r="F11" i="1"/>
  <c r="H14" i="1" l="1"/>
  <c r="H15" i="1" s="1"/>
  <c r="G14" i="1"/>
  <c r="G15" i="1" s="1"/>
  <c r="F12" i="1"/>
  <c r="F14" i="1" s="1"/>
  <c r="F15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<sst xmlns="http://schemas.openxmlformats.org/spreadsheetml/2006/main" count="41" uniqueCount="22">
  <si>
    <t>pimples</t>
  </si>
  <si>
    <t>zebra</t>
  </si>
  <si>
    <t>idiot</t>
  </si>
  <si>
    <t>stark</t>
  </si>
  <si>
    <t>Sig - t</t>
  </si>
  <si>
    <t>Context Embedding</t>
  </si>
  <si>
    <t>C*(Sig-t)</t>
  </si>
  <si>
    <t>t</t>
  </si>
  <si>
    <t>Sigmoid()</t>
  </si>
  <si>
    <t>Input word embedding</t>
  </si>
  <si>
    <t>dot product</t>
  </si>
  <si>
    <t>LR</t>
  </si>
  <si>
    <t>Update step</t>
  </si>
  <si>
    <t>Updated Embedding</t>
  </si>
  <si>
    <t>Derivative of log loss with respect to input embedding</t>
  </si>
  <si>
    <t>Derivative of log loss with respect to contextembedding</t>
  </si>
  <si>
    <t>Update Step</t>
  </si>
  <si>
    <t>Updated Context Embeddings</t>
  </si>
  <si>
    <t>Negative Word</t>
  </si>
  <si>
    <t>Positive Context Word</t>
  </si>
  <si>
    <t>NOT REQUIRED AS PER QUESTION</t>
  </si>
  <si>
    <t>SESSION EXAMPLE AS UPDATED ON CANVAS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</si>
</sst>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b/>
      <sz val="16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 applyAlignment="1">
      <alignment horizontal="center"/>
    </xf>
    <xf numFmtId="0" fontId="0" fillId="0" borderId="12" xfId="0" applyBorder="1"/>
    <xf numFmtId="0" fontId="1" fillId="0" borderId="0" xfId="0" applyFont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2" borderId="1" xfId="0" applyFill="1" applyBorder="1"/>
    <xf numFmtId="0" fontId="0" fillId="2" borderId="11" xfId="0" applyFill="1" applyBorder="1"/>
    <xf numFmtId="0" fontId="0" fillId="2" borderId="8" xfId="0" applyFill="1" applyBorder="1"/>
    <xf numFmtId="0" fontId="0" fillId="0" borderId="0" xfId="0" applyFill="1"/>
    <xf numFmtId="0" fontId="1" fillId="0" borderId="0" xfId="0" applyFont="1" applyFill="1"/>
    <xf numFmtId="0" fontId="4" fillId="0" borderId="0" xfId="0" applyFont="1"/>
    <xf numFmtId="0" fontId="2" fillId="0" borderId="1" xfId="0" applyFont="1" applyBorder="1"/>
    <xf numFmtId="0" fontId="1" fillId="0" borderId="5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1" fillId="0" borderId="25" xfId="0" applyFont="1" applyBorder="1"/>
    <xf numFmtId="0" fontId="0" fillId="0" borderId="26" xfId="0" applyBorder="1"/>
    <xf numFmtId="0" fontId="6" fillId="0" borderId="0" xfId="0" applyFont="1" applyFill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Fill="1" applyBorder="1" applyAlignment="1"/>
    <xf numFmtId="0" fontId="0" fillId="0" borderId="0" xfId="0" applyFill="1" applyBorder="1"/>
    <xf numFmtId="0" fontId="3" fillId="0" borderId="0" xfId="0" applyFont="1" applyFill="1" applyBorder="1" applyAlignment="1">
      <alignment horizontal="right" wrapText="1" readingOrder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/>
    <xf numFmtId="164" fontId="6" fillId="0" borderId="0" xfId="0" applyNumberFormat="1" applyFont="1" applyFill="1" applyBorder="1"/>
    <xf numFmtId="0" fontId="1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abSelected="1" topLeftCell="A2" workbookViewId="0">
      <selection activeCell="E24" sqref="E24"/>
    </sheetView>
  </sheetViews>
  <sheetFormatPr defaultRowHeight="15"/>
  <cols>
    <col min="1" max="1" width="9.5" bestFit="1" customWidth="1"/>
    <col min="2" max="2" width="6.5" bestFit="1" customWidth="1"/>
    <col min="3" max="3" width="8.75" bestFit="1" customWidth="1"/>
    <col min="4" max="4" width="6.5" bestFit="1" customWidth="1"/>
    <col min="5" max="6" width="18.625" bestFit="1" customWidth="1"/>
    <col min="7" max="9" width="12.5" bestFit="1" customWidth="1"/>
    <col min="10" max="10" width="4.875" bestFit="1" customWidth="1"/>
    <col min="11" max="11" width="19.25" style="14" bestFit="1" customWidth="1"/>
    <col min="12" max="15" width="12.5" bestFit="1" customWidth="1"/>
    <col min="16" max="16" width="18.625" bestFit="1" customWidth="1"/>
    <col min="17" max="20" width="12.5" bestFit="1" customWidth="1"/>
  </cols>
  <sheetData>
    <row r="1" spans="1:19" ht="15.75" thickBot="1">
      <c r="C1" s="27" t="s">
        <v>21</v>
      </c>
    </row>
    <row r="2" spans="1:19">
      <c r="A2" s="2"/>
      <c r="B2" s="48" t="s">
        <v>5</v>
      </c>
      <c r="C2" s="48"/>
      <c r="D2" s="48"/>
      <c r="E2" s="3" t="s">
        <v>9</v>
      </c>
      <c r="F2" s="3" t="s">
        <v>10</v>
      </c>
      <c r="G2" s="3" t="s">
        <v>8</v>
      </c>
      <c r="H2" s="3" t="s">
        <v>7</v>
      </c>
      <c r="I2" s="4" t="s">
        <v>4</v>
      </c>
    </row>
    <row r="3" spans="1:19">
      <c r="A3" s="5" t="s">
        <v>3</v>
      </c>
      <c r="B3" s="22">
        <v>0.11600000000000001</v>
      </c>
      <c r="C3" s="22">
        <v>0.72299999999999998</v>
      </c>
      <c r="D3" s="22">
        <v>-0.68899999999999995</v>
      </c>
      <c r="E3" s="1">
        <v>-1.7999999999999999E-2</v>
      </c>
      <c r="F3" s="1">
        <f>MMULT(B3:D3,E3:E5)</f>
        <v>0.50841700000000001</v>
      </c>
      <c r="G3" s="28">
        <f>1/(1+EXP(-F3))</f>
        <v>0.62443530906184719</v>
      </c>
      <c r="H3" s="28">
        <v>1</v>
      </c>
      <c r="I3" s="6">
        <f>G3-H3</f>
        <v>-0.37556469093815281</v>
      </c>
      <c r="K3" s="14" t="s">
        <v>19</v>
      </c>
    </row>
    <row r="4" spans="1:19">
      <c r="A4" s="5" t="s">
        <v>0</v>
      </c>
      <c r="B4" s="22">
        <v>-0.94</v>
      </c>
      <c r="C4" s="22">
        <v>0.60099999999999998</v>
      </c>
      <c r="D4" s="22">
        <v>0.14599999999999999</v>
      </c>
      <c r="E4" s="1">
        <v>0.40400000000000003</v>
      </c>
      <c r="F4" s="1" cm="1">
        <f t="array" ref="F4">MMULT(B4:D4,E3:E5)</f>
        <v>0.21344200000000002</v>
      </c>
      <c r="G4" s="28">
        <f>1/(1+EXP(F4))</f>
        <v>0.44684116218625874</v>
      </c>
      <c r="H4" s="28">
        <v>0</v>
      </c>
      <c r="I4" s="6">
        <f>G4-H4</f>
        <v>0.44684116218625874</v>
      </c>
      <c r="K4" s="14" t="s">
        <v>18</v>
      </c>
    </row>
    <row r="5" spans="1:19">
      <c r="A5" s="5" t="s">
        <v>1</v>
      </c>
      <c r="B5" s="22">
        <v>-0.622</v>
      </c>
      <c r="C5" s="22">
        <v>0.81100000000000005</v>
      </c>
      <c r="D5" s="22">
        <v>0.64</v>
      </c>
      <c r="E5" s="1">
        <v>-0.317</v>
      </c>
      <c r="F5" s="1" cm="1">
        <f t="array" ref="F5">MMULT(B5:D5,E3:E5)</f>
        <v>0.13596000000000003</v>
      </c>
      <c r="G5" s="1">
        <f>1/(1+EXP(F5))</f>
        <v>0.46606226250118854</v>
      </c>
      <c r="H5" s="1">
        <v>0</v>
      </c>
      <c r="I5" s="6">
        <f>G5-H5</f>
        <v>0.46606226250118854</v>
      </c>
      <c r="K5" s="14" t="s">
        <v>18</v>
      </c>
    </row>
    <row r="6" spans="1:19" ht="15.75" thickBot="1">
      <c r="A6" s="10" t="s">
        <v>2</v>
      </c>
      <c r="B6" s="23">
        <v>-7.6999999999999999E-2</v>
      </c>
      <c r="C6" s="23">
        <v>-0.375</v>
      </c>
      <c r="D6" s="23">
        <v>-5.6000000000000001E-2</v>
      </c>
      <c r="E6" s="11"/>
      <c r="F6" s="11" cm="1">
        <f t="array" ref="F6">MMULT(B6:D6,E3:E5)</f>
        <v>-0.13236200000000004</v>
      </c>
      <c r="G6" s="1">
        <f t="shared" ref="G6" si="0">1/(1+EXP(F6))</f>
        <v>0.53304227319005637</v>
      </c>
      <c r="H6" s="11">
        <v>0</v>
      </c>
      <c r="I6" s="9">
        <f>G6-H6</f>
        <v>0.53304227319005637</v>
      </c>
      <c r="K6" s="14" t="s">
        <v>18</v>
      </c>
    </row>
    <row r="7" spans="1:19">
      <c r="A7" s="45" t="s">
        <v>5</v>
      </c>
      <c r="B7" s="46"/>
      <c r="C7" s="46"/>
      <c r="D7" s="46"/>
      <c r="E7" s="12" t="s">
        <v>4</v>
      </c>
      <c r="F7" s="46" t="s">
        <v>6</v>
      </c>
      <c r="G7" s="46"/>
      <c r="H7" s="47"/>
      <c r="I7" s="30"/>
    </row>
    <row r="8" spans="1:19">
      <c r="A8" s="5" t="s">
        <v>3</v>
      </c>
      <c r="B8" s="22">
        <v>0.11600000000000001</v>
      </c>
      <c r="C8" s="22">
        <v>0.72299999999999998</v>
      </c>
      <c r="D8" s="22">
        <v>-0.68899999999999995</v>
      </c>
      <c r="E8" s="6">
        <v>-0.37556469093815281</v>
      </c>
      <c r="F8" s="1">
        <f>B8*$E8</f>
        <v>-4.3565504148825727E-2</v>
      </c>
      <c r="G8" s="1">
        <f>C8*$E8</f>
        <v>-0.27153327154828449</v>
      </c>
      <c r="H8" s="6">
        <f>D8*$E8</f>
        <v>0.25876407205638724</v>
      </c>
      <c r="I8" s="30"/>
      <c r="K8" s="14" t="s">
        <v>19</v>
      </c>
    </row>
    <row r="9" spans="1:19">
      <c r="A9" s="5" t="s">
        <v>0</v>
      </c>
      <c r="B9" s="22">
        <v>-0.94</v>
      </c>
      <c r="C9" s="22">
        <v>0.60099999999999998</v>
      </c>
      <c r="D9" s="22">
        <v>0.14599999999999999</v>
      </c>
      <c r="E9" s="6">
        <v>0.44684116218625874</v>
      </c>
      <c r="F9" s="1">
        <f t="shared" ref="F9:F11" si="1">B9*$E9</f>
        <v>-0.42003069245508318</v>
      </c>
      <c r="G9" s="1">
        <f t="shared" ref="G9:G11" si="2">C9*$E9</f>
        <v>0.26855153847394148</v>
      </c>
      <c r="H9" s="6">
        <f t="shared" ref="H9:H11" si="3">D9*$E9</f>
        <v>6.5238809679193779E-2</v>
      </c>
      <c r="I9" s="30"/>
      <c r="K9" s="14" t="s">
        <v>18</v>
      </c>
    </row>
    <row r="10" spans="1:19">
      <c r="A10" s="5" t="s">
        <v>1</v>
      </c>
      <c r="B10" s="22">
        <v>-0.622</v>
      </c>
      <c r="C10" s="22">
        <v>0.81100000000000005</v>
      </c>
      <c r="D10" s="22">
        <v>0.64</v>
      </c>
      <c r="E10" s="6">
        <v>0.46606226250118854</v>
      </c>
      <c r="F10" s="1">
        <f t="shared" si="1"/>
        <v>-0.28989072727573928</v>
      </c>
      <c r="G10" s="1">
        <f t="shared" si="2"/>
        <v>0.37797649488846391</v>
      </c>
      <c r="H10" s="6">
        <f t="shared" si="3"/>
        <v>0.29827984800076068</v>
      </c>
      <c r="I10" s="30"/>
      <c r="K10" s="14" t="s">
        <v>18</v>
      </c>
    </row>
    <row r="11" spans="1:19" ht="15.75" thickBot="1">
      <c r="A11" s="7" t="s">
        <v>2</v>
      </c>
      <c r="B11" s="24">
        <v>-7.6999999999999999E-2</v>
      </c>
      <c r="C11" s="24">
        <v>-0.375</v>
      </c>
      <c r="D11" s="24">
        <v>-5.6000000000000001E-2</v>
      </c>
      <c r="E11" s="9">
        <v>0.53304227319005637</v>
      </c>
      <c r="F11" s="11">
        <f t="shared" si="1"/>
        <v>-4.1044255035634337E-2</v>
      </c>
      <c r="G11" s="11">
        <f t="shared" si="2"/>
        <v>-0.19989085244627114</v>
      </c>
      <c r="H11" s="13">
        <f t="shared" si="3"/>
        <v>-2.9850367298643158E-2</v>
      </c>
      <c r="I11" s="30"/>
      <c r="K11" s="14" t="s">
        <v>18</v>
      </c>
    </row>
    <row r="12" spans="1:19" ht="44.25" thickBot="1">
      <c r="A12" s="31"/>
      <c r="B12" s="32"/>
      <c r="C12" s="32"/>
      <c r="D12" s="32"/>
      <c r="E12" s="33" t="s">
        <v>14</v>
      </c>
      <c r="F12" s="15">
        <f>SUM(F8:F11)</f>
        <v>-0.79453117891528258</v>
      </c>
      <c r="G12" s="16">
        <f>SUM(G8:G11)</f>
        <v>0.17510390936784975</v>
      </c>
      <c r="H12" s="17">
        <f>SUM(H8:H11)</f>
        <v>0.59243236243769848</v>
      </c>
      <c r="I12" s="30"/>
    </row>
    <row r="13" spans="1:19">
      <c r="A13" s="31"/>
      <c r="B13" s="32"/>
      <c r="C13" s="32"/>
      <c r="D13" s="32"/>
      <c r="E13" s="32" t="s">
        <v>11</v>
      </c>
      <c r="F13" s="32">
        <v>0.05</v>
      </c>
      <c r="G13" s="32"/>
      <c r="H13" s="32"/>
      <c r="I13" s="30"/>
    </row>
    <row r="14" spans="1:19">
      <c r="A14" s="31"/>
      <c r="B14" s="32"/>
      <c r="C14" s="32"/>
      <c r="D14" s="32"/>
      <c r="E14" s="32" t="s">
        <v>12</v>
      </c>
      <c r="F14" s="32">
        <f>F12*$F$13</f>
        <v>-3.9726558945764129E-2</v>
      </c>
      <c r="G14" s="32">
        <f>G12*$F$13</f>
        <v>8.7551954683924883E-3</v>
      </c>
      <c r="H14" s="32">
        <f>H12*$F$13</f>
        <v>2.9621618121884925E-2</v>
      </c>
      <c r="I14" s="30"/>
    </row>
    <row r="15" spans="1:19" ht="15.75" thickBot="1">
      <c r="A15" s="34"/>
      <c r="B15" s="35"/>
      <c r="C15" s="35"/>
      <c r="D15" s="35"/>
      <c r="E15" s="36" t="s">
        <v>13</v>
      </c>
      <c r="F15" s="36">
        <f>E3-F14</f>
        <v>2.172655894576413E-2</v>
      </c>
      <c r="G15" s="36">
        <f>E4-G14</f>
        <v>0.39524480453160754</v>
      </c>
      <c r="H15" s="36">
        <f>E5-H14</f>
        <v>-0.34662161812188491</v>
      </c>
      <c r="I15" s="37"/>
      <c r="L15" s="25"/>
      <c r="M15" s="25"/>
      <c r="N15" s="25"/>
      <c r="O15" s="25"/>
      <c r="P15" s="26"/>
      <c r="Q15" s="26"/>
      <c r="R15" s="26"/>
      <c r="S15" s="26"/>
    </row>
    <row r="17" spans="1:20" ht="15.75" thickBot="1"/>
    <row r="18" spans="1:20" ht="14.45" customHeight="1">
      <c r="A18" s="39" t="s">
        <v>5</v>
      </c>
      <c r="B18" s="40"/>
      <c r="C18" s="40"/>
      <c r="D18" s="41"/>
      <c r="E18" s="18" t="s">
        <v>4</v>
      </c>
      <c r="F18" s="21" t="s">
        <v>9</v>
      </c>
      <c r="G18" s="42" t="s">
        <v>15</v>
      </c>
      <c r="H18" s="43"/>
      <c r="I18" s="44"/>
      <c r="J18" s="21" t="s">
        <v>11</v>
      </c>
      <c r="K18" s="45" t="s">
        <v>16</v>
      </c>
      <c r="L18" s="46"/>
      <c r="M18" s="47"/>
      <c r="N18" s="45" t="s">
        <v>17</v>
      </c>
      <c r="O18" s="46"/>
      <c r="P18" s="47"/>
    </row>
    <row r="19" spans="1:20">
      <c r="A19" s="5" t="str">
        <f>A3</f>
        <v>stark</v>
      </c>
      <c r="B19" s="5">
        <f t="shared" ref="B19:D19" si="4">B3</f>
        <v>0.11600000000000001</v>
      </c>
      <c r="C19" s="5">
        <f t="shared" si="4"/>
        <v>0.72299999999999998</v>
      </c>
      <c r="D19" s="5">
        <f t="shared" si="4"/>
        <v>-0.68899999999999995</v>
      </c>
      <c r="E19" s="19">
        <f>E8</f>
        <v>-0.37556469093815281</v>
      </c>
      <c r="F19" s="19">
        <f>E3</f>
        <v>-1.7999999999999999E-2</v>
      </c>
      <c r="G19" s="5">
        <f>E19*$F$19</f>
        <v>6.7601644368867498E-3</v>
      </c>
      <c r="H19" s="1">
        <f>E19*$F$20</f>
        <v>-0.15172813513901376</v>
      </c>
      <c r="I19" s="6">
        <f>E19*$F$21</f>
        <v>0.11905400702739444</v>
      </c>
      <c r="J19" s="19">
        <v>0.05</v>
      </c>
      <c r="K19" s="29">
        <f t="shared" ref="K19:M22" si="5">G19*$J$19</f>
        <v>3.3800822184433749E-4</v>
      </c>
      <c r="L19" s="1">
        <f t="shared" si="5"/>
        <v>-7.5864067569506883E-3</v>
      </c>
      <c r="M19" s="6">
        <f t="shared" si="5"/>
        <v>5.9527003513697224E-3</v>
      </c>
      <c r="N19" s="5">
        <f>B19-K19</f>
        <v>0.11566199177815567</v>
      </c>
      <c r="O19" s="1">
        <f t="shared" ref="O19:O22" si="6">C19-L19</f>
        <v>0.73058640675695063</v>
      </c>
      <c r="P19" s="6">
        <f t="shared" ref="P19:P22" si="7">D19-M19</f>
        <v>-0.69495270035136969</v>
      </c>
    </row>
    <row r="20" spans="1:20">
      <c r="A20" s="5" t="str">
        <f t="shared" ref="A20:D20" si="8">A4</f>
        <v>pimples</v>
      </c>
      <c r="B20" s="5">
        <f t="shared" si="8"/>
        <v>-0.94</v>
      </c>
      <c r="C20" s="5">
        <f t="shared" si="8"/>
        <v>0.60099999999999998</v>
      </c>
      <c r="D20" s="5">
        <f t="shared" si="8"/>
        <v>0.14599999999999999</v>
      </c>
      <c r="E20" s="19">
        <f t="shared" ref="E20:E22" si="9">E9</f>
        <v>0.44684116218625874</v>
      </c>
      <c r="F20" s="19">
        <f>E4</f>
        <v>0.40400000000000003</v>
      </c>
      <c r="G20" s="5">
        <f>E20*$F$19</f>
        <v>-8.0431409193526572E-3</v>
      </c>
      <c r="H20" s="1">
        <f t="shared" ref="H20:H22" si="10">E20*$F$20</f>
        <v>0.18052382952324855</v>
      </c>
      <c r="I20" s="6">
        <f t="shared" ref="I20:I22" si="11">E20*$F$21</f>
        <v>-0.14164864841304403</v>
      </c>
      <c r="J20" s="19"/>
      <c r="K20" s="29">
        <f t="shared" si="5"/>
        <v>-4.021570459676329E-4</v>
      </c>
      <c r="L20" s="1">
        <f t="shared" si="5"/>
        <v>9.0261914761624283E-3</v>
      </c>
      <c r="M20" s="6">
        <f t="shared" si="5"/>
        <v>-7.0824324206522019E-3</v>
      </c>
      <c r="N20" s="5">
        <f t="shared" ref="N20:N22" si="12">B20-K20</f>
        <v>-0.93959784295403226</v>
      </c>
      <c r="O20" s="1">
        <f t="shared" si="6"/>
        <v>0.59197380852383752</v>
      </c>
      <c r="P20" s="6">
        <f t="shared" si="7"/>
        <v>0.1530824324206522</v>
      </c>
    </row>
    <row r="21" spans="1:20">
      <c r="A21" s="5" t="str">
        <f t="shared" ref="A21:D21" si="13">A5</f>
        <v>zebra</v>
      </c>
      <c r="B21" s="5">
        <f t="shared" si="13"/>
        <v>-0.622</v>
      </c>
      <c r="C21" s="5">
        <f t="shared" si="13"/>
        <v>0.81100000000000005</v>
      </c>
      <c r="D21" s="5">
        <f t="shared" si="13"/>
        <v>0.64</v>
      </c>
      <c r="E21" s="19">
        <f t="shared" si="9"/>
        <v>0.46606226250118854</v>
      </c>
      <c r="F21" s="19">
        <f>E5</f>
        <v>-0.317</v>
      </c>
      <c r="G21" s="5">
        <f>E21*$F$19</f>
        <v>-8.3891207250213935E-3</v>
      </c>
      <c r="H21" s="1">
        <f t="shared" si="10"/>
        <v>0.18828915405048019</v>
      </c>
      <c r="I21" s="6">
        <f t="shared" si="11"/>
        <v>-0.14774173721287676</v>
      </c>
      <c r="J21" s="19"/>
      <c r="K21" s="29">
        <f t="shared" si="5"/>
        <v>-4.1945603625106971E-4</v>
      </c>
      <c r="L21" s="1">
        <f t="shared" si="5"/>
        <v>9.4144577025240105E-3</v>
      </c>
      <c r="M21" s="6">
        <f t="shared" si="5"/>
        <v>-7.3870868606438385E-3</v>
      </c>
      <c r="N21" s="5">
        <f t="shared" si="12"/>
        <v>-0.62158054396374895</v>
      </c>
      <c r="O21" s="1">
        <f t="shared" si="6"/>
        <v>0.80158554229747603</v>
      </c>
      <c r="P21" s="6">
        <f t="shared" si="7"/>
        <v>0.64738708686064383</v>
      </c>
    </row>
    <row r="22" spans="1:20" ht="15.75" thickBot="1">
      <c r="A22" s="5" t="str">
        <f t="shared" ref="A22:D22" si="14">A6</f>
        <v>idiot</v>
      </c>
      <c r="B22" s="5">
        <f t="shared" si="14"/>
        <v>-7.6999999999999999E-2</v>
      </c>
      <c r="C22" s="5">
        <f t="shared" si="14"/>
        <v>-0.375</v>
      </c>
      <c r="D22" s="5">
        <f t="shared" si="14"/>
        <v>-5.6000000000000001E-2</v>
      </c>
      <c r="E22" s="19">
        <f t="shared" si="9"/>
        <v>0.53304227319005637</v>
      </c>
      <c r="F22" s="20"/>
      <c r="G22" s="5">
        <f>E22*$F$19</f>
        <v>-9.5947609174210132E-3</v>
      </c>
      <c r="H22" s="1">
        <f t="shared" si="10"/>
        <v>0.21534907836878278</v>
      </c>
      <c r="I22" s="6">
        <f t="shared" si="11"/>
        <v>-0.16897440060124788</v>
      </c>
      <c r="J22" s="20"/>
      <c r="K22" s="29">
        <f t="shared" si="5"/>
        <v>-4.7973804587105067E-4</v>
      </c>
      <c r="L22" s="1">
        <f t="shared" si="5"/>
        <v>1.076745391843914E-2</v>
      </c>
      <c r="M22" s="6">
        <f t="shared" si="5"/>
        <v>-8.4487200300623951E-3</v>
      </c>
      <c r="N22" s="7">
        <f t="shared" si="12"/>
        <v>-7.6520261954128949E-2</v>
      </c>
      <c r="O22" s="8">
        <f t="shared" si="6"/>
        <v>-0.38576745391843914</v>
      </c>
      <c r="P22" s="9">
        <f t="shared" si="7"/>
        <v>-4.7551279969937604E-2</v>
      </c>
    </row>
    <row r="26" spans="1:20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9"/>
      <c r="L26" s="52"/>
      <c r="M26" s="52"/>
    </row>
    <row r="27" spans="1:20">
      <c r="A27" s="52"/>
      <c r="B27" s="52"/>
      <c r="C27" s="60"/>
      <c r="D27" s="52"/>
      <c r="E27" s="52"/>
      <c r="F27" s="52"/>
      <c r="G27" s="52"/>
      <c r="H27" s="52"/>
      <c r="I27" s="52"/>
      <c r="J27" s="52"/>
      <c r="K27" s="59"/>
      <c r="L27" s="52"/>
      <c r="M27" s="52"/>
    </row>
    <row r="28" spans="1:20">
      <c r="A28" s="52"/>
      <c r="B28" s="51"/>
      <c r="C28" s="51"/>
      <c r="D28" s="51"/>
      <c r="E28" s="52"/>
      <c r="F28" s="52"/>
      <c r="G28" s="52"/>
      <c r="H28" s="52"/>
      <c r="I28" s="54"/>
      <c r="J28" s="52"/>
      <c r="K28" s="59"/>
      <c r="L28" s="59"/>
      <c r="M28" s="59"/>
      <c r="N28" s="14"/>
      <c r="O28" s="14"/>
      <c r="P28" s="14"/>
      <c r="Q28" s="14"/>
      <c r="R28" s="14"/>
      <c r="S28" s="14"/>
      <c r="T28" s="14"/>
    </row>
    <row r="29" spans="1:20">
      <c r="A29" s="52"/>
      <c r="B29" s="53"/>
      <c r="C29" s="53"/>
      <c r="D29" s="53"/>
      <c r="E29" s="52"/>
      <c r="F29" s="52"/>
      <c r="G29" s="52"/>
      <c r="H29" s="52"/>
      <c r="I29" s="52"/>
      <c r="J29" s="52"/>
      <c r="K29" s="59"/>
      <c r="L29" s="59"/>
      <c r="M29" s="59"/>
      <c r="N29" s="14"/>
      <c r="O29" s="14"/>
      <c r="P29" s="14"/>
      <c r="Q29" s="14"/>
      <c r="R29" s="14"/>
      <c r="S29" s="14"/>
      <c r="T29" s="14"/>
    </row>
    <row r="30" spans="1:20">
      <c r="A30" s="52"/>
      <c r="B30" s="53"/>
      <c r="C30" s="53"/>
      <c r="D30" s="53"/>
      <c r="E30" s="52"/>
      <c r="F30" s="52"/>
      <c r="G30" s="52"/>
      <c r="H30" s="52"/>
      <c r="I30" s="52"/>
      <c r="J30" s="52"/>
      <c r="K30" s="59"/>
      <c r="L30" s="59"/>
      <c r="M30" s="59"/>
      <c r="N30" s="14"/>
      <c r="O30" s="14"/>
      <c r="P30" s="14"/>
      <c r="Q30" s="14"/>
      <c r="R30" s="14"/>
      <c r="S30" s="14"/>
      <c r="T30" s="14"/>
    </row>
    <row r="31" spans="1:20">
      <c r="A31" s="52"/>
      <c r="B31" s="53"/>
      <c r="C31" s="53"/>
      <c r="D31" s="53"/>
      <c r="E31" s="52"/>
      <c r="F31" s="52"/>
      <c r="G31" s="52"/>
      <c r="H31" s="52"/>
      <c r="I31" s="52"/>
      <c r="J31" s="52"/>
      <c r="K31" s="59"/>
      <c r="L31" s="59"/>
      <c r="M31" s="59"/>
      <c r="N31" s="14"/>
      <c r="O31" s="14"/>
      <c r="P31" s="14"/>
      <c r="Q31" s="14"/>
      <c r="R31" s="14"/>
      <c r="S31" s="14"/>
      <c r="T31" s="14"/>
    </row>
    <row r="32" spans="1:20">
      <c r="A32" s="51"/>
      <c r="B32" s="51"/>
      <c r="C32" s="51"/>
      <c r="D32" s="51"/>
      <c r="E32" s="54"/>
      <c r="F32" s="51"/>
      <c r="G32" s="51"/>
      <c r="H32" s="51"/>
      <c r="I32" s="52"/>
      <c r="J32" s="52"/>
      <c r="K32" s="59"/>
      <c r="L32" s="59"/>
      <c r="M32" s="59"/>
      <c r="N32" s="14"/>
      <c r="O32" s="14"/>
      <c r="P32" s="14"/>
      <c r="Q32" s="14"/>
      <c r="R32" s="14"/>
      <c r="S32" s="14"/>
      <c r="T32" s="14"/>
    </row>
    <row r="33" spans="1:20">
      <c r="A33" s="52"/>
      <c r="B33" s="53"/>
      <c r="C33" s="53"/>
      <c r="D33" s="53"/>
      <c r="E33" s="52"/>
      <c r="F33" s="52"/>
      <c r="G33" s="52"/>
      <c r="H33" s="52"/>
      <c r="I33" s="52"/>
      <c r="J33" s="52"/>
      <c r="K33" s="59"/>
      <c r="L33" s="59"/>
      <c r="M33" s="59"/>
      <c r="N33" s="14"/>
      <c r="O33" s="14"/>
      <c r="P33" s="14"/>
      <c r="Q33" s="14"/>
      <c r="R33" s="14"/>
      <c r="S33" s="14"/>
      <c r="T33" s="14"/>
    </row>
    <row r="34" spans="1:20">
      <c r="A34" s="52"/>
      <c r="B34" s="53"/>
      <c r="C34" s="53"/>
      <c r="D34" s="53"/>
      <c r="E34" s="52"/>
      <c r="F34" s="52"/>
      <c r="G34" s="52"/>
      <c r="H34" s="52"/>
      <c r="I34" s="52"/>
      <c r="J34" s="52"/>
      <c r="K34" s="59"/>
      <c r="L34" s="59"/>
      <c r="M34" s="59"/>
      <c r="N34" s="14"/>
      <c r="O34" s="14"/>
      <c r="P34" s="14"/>
      <c r="Q34" s="14"/>
      <c r="R34" s="14"/>
      <c r="S34" s="14"/>
      <c r="T34" s="14"/>
    </row>
    <row r="35" spans="1:20">
      <c r="A35" s="52"/>
      <c r="B35" s="53"/>
      <c r="C35" s="53"/>
      <c r="D35" s="53"/>
      <c r="E35" s="52"/>
      <c r="F35" s="52"/>
      <c r="G35" s="52"/>
      <c r="H35" s="52"/>
      <c r="I35" s="52"/>
      <c r="J35" s="52"/>
      <c r="K35" s="59"/>
      <c r="L35" s="59"/>
      <c r="M35" s="59"/>
      <c r="N35" s="14"/>
      <c r="O35" s="14"/>
      <c r="P35" s="14"/>
      <c r="Q35" s="14"/>
      <c r="R35" s="14"/>
      <c r="S35" s="14"/>
      <c r="T35" s="14"/>
    </row>
    <row r="36" spans="1:20" ht="72.95" customHeight="1">
      <c r="A36" s="52"/>
      <c r="B36" s="52"/>
      <c r="C36" s="52"/>
      <c r="D36" s="52"/>
      <c r="E36" s="55"/>
      <c r="F36" s="56"/>
      <c r="G36" s="56"/>
      <c r="H36" s="56"/>
      <c r="I36" s="52"/>
      <c r="J36" s="52"/>
      <c r="K36" s="59"/>
      <c r="L36" s="59"/>
      <c r="M36" s="59"/>
      <c r="N36" s="14"/>
      <c r="O36" s="14"/>
      <c r="P36" s="14"/>
      <c r="Q36" s="14"/>
      <c r="R36" s="14"/>
      <c r="S36" s="14"/>
      <c r="T36" s="14"/>
    </row>
    <row r="37" spans="1:20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9"/>
      <c r="L37" s="59"/>
      <c r="M37" s="59"/>
      <c r="N37" s="14"/>
      <c r="O37" s="14"/>
      <c r="P37" s="14"/>
      <c r="Q37" s="14"/>
      <c r="R37" s="14"/>
      <c r="S37" s="14"/>
      <c r="T37" s="14"/>
    </row>
    <row r="38" spans="1:20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9"/>
      <c r="L38" s="59"/>
      <c r="M38" s="59"/>
      <c r="N38" s="14"/>
      <c r="O38" s="14"/>
      <c r="P38" s="14"/>
      <c r="Q38" s="14"/>
      <c r="R38" s="14"/>
      <c r="S38" s="14"/>
      <c r="T38" s="14"/>
    </row>
    <row r="39" spans="1:20" ht="18">
      <c r="A39" s="52"/>
      <c r="B39" s="52"/>
      <c r="C39" s="52"/>
      <c r="D39" s="52"/>
      <c r="E39" s="57"/>
      <c r="F39" s="57"/>
      <c r="G39" s="57"/>
      <c r="H39" s="57"/>
      <c r="I39" s="52"/>
      <c r="J39" s="52"/>
      <c r="K39" s="59"/>
      <c r="L39" s="59"/>
      <c r="M39" s="59"/>
      <c r="N39" s="14"/>
      <c r="O39" s="14"/>
      <c r="P39" s="14"/>
      <c r="Q39" s="14"/>
      <c r="R39" s="14"/>
      <c r="S39" s="14"/>
      <c r="T39" s="14"/>
    </row>
    <row r="40" spans="1:20" ht="20.25">
      <c r="A40" s="52"/>
      <c r="B40" s="52"/>
      <c r="C40" s="52"/>
      <c r="D40" s="52"/>
      <c r="E40" s="38"/>
      <c r="F40" s="58"/>
      <c r="G40" s="58"/>
      <c r="H40" s="58"/>
      <c r="I40" s="52"/>
      <c r="J40" s="52"/>
      <c r="K40" s="59"/>
      <c r="L40" s="52"/>
      <c r="M40" s="52"/>
    </row>
    <row r="41" spans="1:20" ht="15.75" thickBo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9"/>
      <c r="L41" s="52"/>
      <c r="M41" s="52"/>
    </row>
    <row r="42" spans="1:20" ht="14.45" customHeight="1">
      <c r="A42" s="51"/>
      <c r="B42" s="51"/>
      <c r="C42" s="51"/>
      <c r="D42" s="51"/>
      <c r="E42" s="54"/>
      <c r="F42" s="52"/>
      <c r="G42" s="55"/>
      <c r="H42" s="55"/>
      <c r="I42" s="55"/>
      <c r="J42" s="52"/>
      <c r="K42" s="51"/>
      <c r="L42" s="51"/>
      <c r="M42" s="51"/>
      <c r="N42" s="40" t="s">
        <v>17</v>
      </c>
      <c r="O42" s="40"/>
      <c r="P42" s="41"/>
      <c r="Q42" s="27" t="s">
        <v>20</v>
      </c>
    </row>
    <row r="43" spans="1:20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9"/>
      <c r="L43" s="52"/>
      <c r="M43" s="52"/>
      <c r="N43" s="49">
        <f t="shared" ref="N43:N45" si="15">B43-K43</f>
        <v>0</v>
      </c>
      <c r="O43" s="1">
        <f t="shared" ref="O43:O45" si="16">C43-L43</f>
        <v>0</v>
      </c>
      <c r="P43" s="6">
        <f t="shared" ref="P43:P45" si="17">D43-M43</f>
        <v>0</v>
      </c>
    </row>
    <row r="44" spans="1:20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9"/>
      <c r="L44" s="52"/>
      <c r="M44" s="52"/>
      <c r="N44" s="49">
        <f t="shared" si="15"/>
        <v>0</v>
      </c>
      <c r="O44" s="1">
        <f t="shared" si="16"/>
        <v>0</v>
      </c>
      <c r="P44" s="6">
        <f t="shared" si="17"/>
        <v>0</v>
      </c>
    </row>
    <row r="45" spans="1:20" ht="15.75" thickBo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9"/>
      <c r="L45" s="52"/>
      <c r="M45" s="52"/>
      <c r="N45" s="50">
        <f t="shared" si="15"/>
        <v>0</v>
      </c>
      <c r="O45" s="8">
        <f t="shared" si="16"/>
        <v>0</v>
      </c>
      <c r="P45" s="9">
        <f t="shared" si="17"/>
        <v>0</v>
      </c>
    </row>
    <row r="46" spans="1:20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9"/>
      <c r="L46" s="52"/>
      <c r="M46" s="52"/>
    </row>
    <row r="47" spans="1:20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9"/>
      <c r="L47" s="52"/>
      <c r="M47" s="52"/>
    </row>
    <row r="48" spans="1:20">
      <c r="A48" s="52"/>
      <c r="B48" s="52"/>
      <c r="C48" s="60"/>
      <c r="D48" s="52"/>
      <c r="E48" s="52"/>
      <c r="F48" s="52"/>
      <c r="G48" s="52"/>
      <c r="H48" s="52"/>
      <c r="I48" s="52"/>
      <c r="J48" s="52"/>
      <c r="K48" s="59"/>
      <c r="L48" s="52"/>
      <c r="M48" s="52"/>
    </row>
    <row r="49" spans="1:20">
      <c r="A49" s="52"/>
      <c r="B49" s="51"/>
      <c r="C49" s="51"/>
      <c r="D49" s="51"/>
      <c r="E49" s="52"/>
      <c r="F49" s="52"/>
      <c r="G49" s="52"/>
      <c r="H49" s="52"/>
      <c r="I49" s="54"/>
      <c r="J49" s="52"/>
      <c r="K49" s="59"/>
      <c r="L49" s="59"/>
      <c r="M49" s="59"/>
      <c r="N49" s="14"/>
      <c r="O49" s="14"/>
      <c r="P49" s="14"/>
      <c r="Q49" s="14"/>
      <c r="R49" s="14"/>
      <c r="S49" s="14"/>
      <c r="T49" s="14"/>
    </row>
    <row r="50" spans="1:20">
      <c r="A50" s="52"/>
      <c r="B50" s="53"/>
      <c r="C50" s="53"/>
      <c r="D50" s="53"/>
      <c r="E50" s="52"/>
      <c r="F50" s="52"/>
      <c r="G50" s="52"/>
      <c r="H50" s="52"/>
      <c r="I50" s="52"/>
      <c r="J50" s="52"/>
      <c r="K50" s="59"/>
      <c r="L50" s="59"/>
      <c r="M50" s="59"/>
      <c r="N50" s="14"/>
      <c r="O50" s="14"/>
      <c r="P50" s="14"/>
      <c r="Q50" s="14"/>
      <c r="R50" s="14"/>
      <c r="S50" s="14"/>
      <c r="T50" s="14"/>
    </row>
    <row r="51" spans="1:20">
      <c r="A51" s="52"/>
      <c r="B51" s="53"/>
      <c r="C51" s="53"/>
      <c r="D51" s="53"/>
      <c r="E51" s="52"/>
      <c r="F51" s="52"/>
      <c r="G51" s="52"/>
      <c r="H51" s="52"/>
      <c r="I51" s="52"/>
      <c r="J51" s="52"/>
      <c r="K51" s="59"/>
      <c r="L51" s="59"/>
      <c r="M51" s="59"/>
      <c r="N51" s="14"/>
      <c r="O51" s="14"/>
      <c r="P51" s="14"/>
      <c r="Q51" s="14"/>
      <c r="R51" s="14"/>
      <c r="S51" s="14"/>
      <c r="T51" s="14"/>
    </row>
    <row r="52" spans="1:20">
      <c r="A52" s="52"/>
      <c r="B52" s="53"/>
      <c r="C52" s="53"/>
      <c r="D52" s="53"/>
      <c r="E52" s="52"/>
      <c r="F52" s="52"/>
      <c r="G52" s="52"/>
      <c r="H52" s="52"/>
      <c r="I52" s="52"/>
      <c r="J52" s="52"/>
      <c r="K52" s="59"/>
      <c r="L52" s="59"/>
      <c r="M52" s="59"/>
      <c r="N52" s="14"/>
      <c r="O52" s="14"/>
      <c r="P52" s="14"/>
      <c r="Q52" s="14"/>
      <c r="R52" s="14"/>
      <c r="S52" s="14"/>
      <c r="T52" s="14"/>
    </row>
    <row r="53" spans="1:20">
      <c r="A53" s="51"/>
      <c r="B53" s="51"/>
      <c r="C53" s="51"/>
      <c r="D53" s="51"/>
      <c r="E53" s="54"/>
      <c r="F53" s="51"/>
      <c r="G53" s="51"/>
      <c r="H53" s="51"/>
      <c r="I53" s="52"/>
      <c r="J53" s="52"/>
      <c r="K53" s="59"/>
      <c r="L53" s="59"/>
      <c r="M53" s="59"/>
      <c r="N53" s="14"/>
      <c r="O53" s="14"/>
      <c r="P53" s="14"/>
      <c r="Q53" s="14"/>
      <c r="R53" s="14"/>
      <c r="S53" s="14"/>
      <c r="T53" s="14"/>
    </row>
    <row r="54" spans="1:20">
      <c r="A54" s="52"/>
      <c r="B54" s="53"/>
      <c r="C54" s="53"/>
      <c r="D54" s="53"/>
      <c r="E54" s="52"/>
      <c r="F54" s="52"/>
      <c r="G54" s="52"/>
      <c r="H54" s="52"/>
      <c r="I54" s="52"/>
      <c r="J54" s="52"/>
      <c r="K54" s="59"/>
      <c r="L54" s="59"/>
      <c r="M54" s="59"/>
      <c r="N54" s="14"/>
      <c r="O54" s="14"/>
      <c r="P54" s="14"/>
      <c r="Q54" s="14"/>
      <c r="R54" s="14"/>
      <c r="S54" s="14"/>
      <c r="T54" s="14"/>
    </row>
    <row r="55" spans="1:20">
      <c r="A55" s="52"/>
      <c r="B55" s="53"/>
      <c r="C55" s="53"/>
      <c r="D55" s="53"/>
      <c r="E55" s="52"/>
      <c r="F55" s="52"/>
      <c r="G55" s="52"/>
      <c r="H55" s="52"/>
      <c r="I55" s="52"/>
      <c r="J55" s="52"/>
      <c r="K55" s="59"/>
      <c r="L55" s="59"/>
      <c r="M55" s="59"/>
      <c r="N55" s="14"/>
      <c r="O55" s="14"/>
      <c r="P55" s="14"/>
      <c r="Q55" s="14"/>
      <c r="R55" s="14"/>
      <c r="S55" s="14"/>
      <c r="T55" s="14"/>
    </row>
    <row r="56" spans="1:20">
      <c r="A56" s="52"/>
      <c r="B56" s="53"/>
      <c r="C56" s="53"/>
      <c r="D56" s="53"/>
      <c r="E56" s="52"/>
      <c r="F56" s="52"/>
      <c r="G56" s="52"/>
      <c r="H56" s="52"/>
      <c r="I56" s="52"/>
      <c r="J56" s="52"/>
      <c r="K56" s="59"/>
      <c r="L56" s="59"/>
      <c r="M56" s="59"/>
      <c r="N56" s="14"/>
      <c r="O56" s="14"/>
      <c r="P56" s="14"/>
      <c r="Q56" s="14"/>
      <c r="R56" s="14"/>
      <c r="S56" s="14"/>
      <c r="T56" s="14"/>
    </row>
    <row r="57" spans="1:20" ht="72.95" customHeight="1">
      <c r="A57" s="52"/>
      <c r="B57" s="52"/>
      <c r="C57" s="52"/>
      <c r="D57" s="52"/>
      <c r="E57" s="55"/>
      <c r="F57" s="56"/>
      <c r="G57" s="56"/>
      <c r="H57" s="56"/>
      <c r="I57" s="52"/>
      <c r="J57" s="52"/>
      <c r="K57" s="59"/>
      <c r="L57" s="59"/>
      <c r="M57" s="59"/>
      <c r="N57" s="14"/>
      <c r="O57" s="14"/>
      <c r="P57" s="14"/>
      <c r="Q57" s="14"/>
      <c r="R57" s="14"/>
      <c r="S57" s="14"/>
      <c r="T57" s="14"/>
    </row>
    <row r="58" spans="1:20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9"/>
      <c r="L58" s="59"/>
      <c r="M58" s="59"/>
      <c r="N58" s="14"/>
      <c r="O58" s="14"/>
      <c r="P58" s="14"/>
      <c r="Q58" s="14"/>
      <c r="R58" s="14"/>
      <c r="S58" s="14"/>
      <c r="T58" s="14"/>
    </row>
    <row r="59" spans="1:20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9"/>
      <c r="L59" s="59"/>
      <c r="M59" s="59"/>
      <c r="N59" s="14"/>
      <c r="O59" s="14"/>
      <c r="P59" s="14"/>
      <c r="Q59" s="14"/>
      <c r="R59" s="14"/>
      <c r="S59" s="14"/>
      <c r="T59" s="14"/>
    </row>
    <row r="60" spans="1:20" ht="18">
      <c r="A60" s="52"/>
      <c r="B60" s="52"/>
      <c r="C60" s="52"/>
      <c r="D60" s="52"/>
      <c r="E60" s="57"/>
      <c r="F60" s="57"/>
      <c r="G60" s="57"/>
      <c r="H60" s="57"/>
      <c r="I60" s="52"/>
      <c r="J60" s="52"/>
      <c r="K60" s="59"/>
      <c r="L60" s="59"/>
      <c r="M60" s="59"/>
      <c r="N60" s="14"/>
      <c r="O60" s="14"/>
      <c r="P60" s="14"/>
      <c r="Q60" s="14"/>
      <c r="R60" s="14"/>
      <c r="S60" s="14"/>
      <c r="T60" s="14"/>
    </row>
    <row r="61" spans="1:20" ht="20.25">
      <c r="A61" s="52"/>
      <c r="B61" s="52"/>
      <c r="C61" s="52"/>
      <c r="D61" s="52"/>
      <c r="E61" s="38"/>
      <c r="F61" s="58"/>
      <c r="G61" s="58"/>
      <c r="H61" s="58"/>
      <c r="I61" s="52"/>
      <c r="J61" s="52"/>
      <c r="K61" s="59"/>
      <c r="L61" s="52"/>
      <c r="M61" s="52"/>
    </row>
    <row r="62" spans="1:20" ht="15.75" thickBo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9"/>
      <c r="L62" s="52"/>
      <c r="M62" s="52"/>
    </row>
    <row r="63" spans="1:20" ht="14.45" customHeight="1">
      <c r="A63" s="51"/>
      <c r="B63" s="51"/>
      <c r="C63" s="51"/>
      <c r="D63" s="51"/>
      <c r="E63" s="54"/>
      <c r="F63" s="52"/>
      <c r="G63" s="55"/>
      <c r="H63" s="55"/>
      <c r="I63" s="55"/>
      <c r="J63" s="52"/>
      <c r="K63" s="51"/>
      <c r="L63" s="51"/>
      <c r="M63" s="51"/>
      <c r="N63" s="40" t="s">
        <v>17</v>
      </c>
      <c r="O63" s="40"/>
      <c r="P63" s="41"/>
      <c r="Q63" s="27" t="s">
        <v>20</v>
      </c>
    </row>
    <row r="64" spans="1:20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9"/>
      <c r="L64" s="52"/>
      <c r="M64" s="52"/>
      <c r="N64" s="49">
        <f t="shared" ref="N64:N66" si="18">B64-K64</f>
        <v>0</v>
      </c>
      <c r="O64" s="1">
        <f t="shared" ref="O64:O66" si="19">C64-L64</f>
        <v>0</v>
      </c>
      <c r="P64" s="6">
        <f t="shared" ref="P64:P66" si="20">D64-M64</f>
        <v>0</v>
      </c>
    </row>
    <row r="65" spans="1:16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9"/>
      <c r="L65" s="52"/>
      <c r="M65" s="52"/>
      <c r="N65" s="49">
        <f t="shared" si="18"/>
        <v>0</v>
      </c>
      <c r="O65" s="1">
        <f t="shared" si="19"/>
        <v>0</v>
      </c>
      <c r="P65" s="6">
        <f t="shared" si="20"/>
        <v>0</v>
      </c>
    </row>
    <row r="66" spans="1:16" ht="15.75" thickBo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9"/>
      <c r="L66" s="52"/>
      <c r="M66" s="52"/>
      <c r="N66" s="50">
        <f t="shared" si="18"/>
        <v>0</v>
      </c>
      <c r="O66" s="8">
        <f t="shared" si="19"/>
        <v>0</v>
      </c>
      <c r="P66" s="9">
        <f t="shared" si="20"/>
        <v>0</v>
      </c>
    </row>
    <row r="67" spans="1:16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9"/>
      <c r="L67" s="52"/>
      <c r="M67" s="52"/>
    </row>
    <row r="68" spans="1:16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9"/>
      <c r="L68" s="52"/>
      <c r="M68" s="52"/>
    </row>
    <row r="69" spans="1:16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9"/>
      <c r="L69" s="52"/>
      <c r="M69" s="52"/>
    </row>
  </sheetData>
  <mergeCells count="9">
    <mergeCell ref="B2:D2"/>
    <mergeCell ref="A18:D18"/>
    <mergeCell ref="N42:P42"/>
    <mergeCell ref="F7:H7"/>
    <mergeCell ref="A7:D7"/>
    <mergeCell ref="N63:P63"/>
    <mergeCell ref="G18:I18"/>
    <mergeCell ref="K18:M18"/>
    <mergeCell ref="N18:P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SUMUKHA MANJUNATHA</dc:creator>
  <cp:lastModifiedBy>Admin</cp:lastModifiedBy>
  <dcterms:created xsi:type="dcterms:W3CDTF">2024-06-09T17:07:11Z</dcterms:created>
  <dcterms:modified xsi:type="dcterms:W3CDTF">2024-12-17T06:42:58Z</dcterms:modified>
</cp:coreProperties>
</file>